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yradisimino/Documents/"/>
    </mc:Choice>
  </mc:AlternateContent>
  <xr:revisionPtr revIDLastSave="0" documentId="13_ncr:1_{76A0DD5A-1361-E54C-A3BC-F416B46FD116}" xr6:coauthVersionLast="47" xr6:coauthVersionMax="47" xr10:uidLastSave="{00000000-0000-0000-0000-000000000000}"/>
  <bookViews>
    <workbookView xWindow="460" yWindow="500" windowWidth="27640" windowHeight="16120" xr2:uid="{C219FE17-EC63-A048-AE46-D00A711E24C3}"/>
  </bookViews>
  <sheets>
    <sheet name="Warehouse Layout" sheetId="1" r:id="rId1"/>
    <sheet name="Empty Slots" sheetId="10" r:id="rId2"/>
    <sheet name="Log" sheetId="6" r:id="rId3"/>
    <sheet name="Slotting Decision" sheetId="2" r:id="rId4"/>
    <sheet name="Inventory" sheetId="3" r:id="rId5"/>
    <sheet name="Orders" sheetId="4" r:id="rId6"/>
    <sheet name="Order Path" sheetId="7" r:id="rId7"/>
    <sheet name="Temp" sheetId="8" r:id="rId8"/>
    <sheet name="Locations" sheetId="5" r:id="rId9"/>
  </sheets>
  <definedNames>
    <definedName name="_xlnm._FilterDatabase" localSheetId="5" hidden="1">Orders!$A$2:$B$24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2" l="1"/>
  <c r="C5" i="2"/>
  <c r="C6" i="2"/>
  <c r="C7" i="2"/>
  <c r="C8" i="2"/>
  <c r="C9" i="2"/>
  <c r="C10" i="2"/>
  <c r="C11" i="2"/>
  <c r="C18" i="2"/>
  <c r="C19" i="2"/>
  <c r="C20" i="2"/>
  <c r="C21" i="2"/>
  <c r="C22" i="2"/>
  <c r="C23" i="2"/>
  <c r="C24" i="2"/>
  <c r="C25" i="2"/>
  <c r="C26" i="2"/>
  <c r="C27" i="2"/>
  <c r="C28" i="2"/>
  <c r="C29" i="2"/>
  <c r="C3" i="2"/>
</calcChain>
</file>

<file path=xl/sharedStrings.xml><?xml version="1.0" encoding="utf-8"?>
<sst xmlns="http://schemas.openxmlformats.org/spreadsheetml/2006/main" count="256" uniqueCount="106">
  <si>
    <t>RECEIVING DOCK 1</t>
  </si>
  <si>
    <t>RECEIVING DOCK 2</t>
  </si>
  <si>
    <t>SHIPPING DOCK 1</t>
  </si>
  <si>
    <t>SHIPPING DOCK 2</t>
  </si>
  <si>
    <t>AA110</t>
  </si>
  <si>
    <t>AA120</t>
  </si>
  <si>
    <t>AA130</t>
  </si>
  <si>
    <t>AA310</t>
  </si>
  <si>
    <t>AA320</t>
  </si>
  <si>
    <t>AA330</t>
  </si>
  <si>
    <t>AA510</t>
  </si>
  <si>
    <t>AA520</t>
  </si>
  <si>
    <t>AA530</t>
  </si>
  <si>
    <t>AA210</t>
  </si>
  <si>
    <t>AA220</t>
  </si>
  <si>
    <t>AA230</t>
  </si>
  <si>
    <t>AA410</t>
  </si>
  <si>
    <t>AA420</t>
  </si>
  <si>
    <t>AA430</t>
  </si>
  <si>
    <t>AA610</t>
  </si>
  <si>
    <t>AA620</t>
  </si>
  <si>
    <t>AA630</t>
  </si>
  <si>
    <t>AB110</t>
  </si>
  <si>
    <t>AB120</t>
  </si>
  <si>
    <t>AB130</t>
  </si>
  <si>
    <t>AB310</t>
  </si>
  <si>
    <t>AB320</t>
  </si>
  <si>
    <t>AB330</t>
  </si>
  <si>
    <t>AB510</t>
  </si>
  <si>
    <t>AB520</t>
  </si>
  <si>
    <t>AB530</t>
  </si>
  <si>
    <t>AB210</t>
  </si>
  <si>
    <t>AB220</t>
  </si>
  <si>
    <t>AB230</t>
  </si>
  <si>
    <t>AB410</t>
  </si>
  <si>
    <t>AB420</t>
  </si>
  <si>
    <t>AB430</t>
  </si>
  <si>
    <t>AB610</t>
  </si>
  <si>
    <t>AB620</t>
  </si>
  <si>
    <t>AB630</t>
  </si>
  <si>
    <t>AISLE AA</t>
  </si>
  <si>
    <t>AISLE AB</t>
  </si>
  <si>
    <t>SKU_ID</t>
  </si>
  <si>
    <t>001</t>
  </si>
  <si>
    <t>002</t>
  </si>
  <si>
    <t>003</t>
  </si>
  <si>
    <t>004</t>
  </si>
  <si>
    <t>005</t>
  </si>
  <si>
    <t>006</t>
  </si>
  <si>
    <t>007</t>
  </si>
  <si>
    <t>008</t>
  </si>
  <si>
    <t>009</t>
  </si>
  <si>
    <t>010</t>
  </si>
  <si>
    <t>011</t>
  </si>
  <si>
    <t>012</t>
  </si>
  <si>
    <t>013</t>
  </si>
  <si>
    <t>014</t>
  </si>
  <si>
    <t>015</t>
  </si>
  <si>
    <t>TRAN_ID</t>
  </si>
  <si>
    <t>00001</t>
  </si>
  <si>
    <t>00002</t>
  </si>
  <si>
    <t>00003</t>
  </si>
  <si>
    <t>00004</t>
  </si>
  <si>
    <t>00005</t>
  </si>
  <si>
    <t>00006</t>
  </si>
  <si>
    <t>SLOT_ID</t>
  </si>
  <si>
    <t>X_COORD</t>
  </si>
  <si>
    <t>Y_COORD</t>
  </si>
  <si>
    <t>CELL</t>
  </si>
  <si>
    <t>$C$4</t>
  </si>
  <si>
    <t>$C$5</t>
  </si>
  <si>
    <t>$C$6</t>
  </si>
  <si>
    <t>$C$7</t>
  </si>
  <si>
    <t>$C$8</t>
  </si>
  <si>
    <t>$C$9</t>
  </si>
  <si>
    <t>$C$10</t>
  </si>
  <si>
    <t>$C$11</t>
  </si>
  <si>
    <t>$C$12</t>
  </si>
  <si>
    <t>$E$4</t>
  </si>
  <si>
    <t>$E$5</t>
  </si>
  <si>
    <t>$E$6</t>
  </si>
  <si>
    <t>$E$7</t>
  </si>
  <si>
    <t>$E$8</t>
  </si>
  <si>
    <t>$E$9</t>
  </si>
  <si>
    <t>$E$10</t>
  </si>
  <si>
    <t>$E$11</t>
  </si>
  <si>
    <t>$E$12</t>
  </si>
  <si>
    <t>$F$4</t>
  </si>
  <si>
    <t>$F$5</t>
  </si>
  <si>
    <t>$F$6</t>
  </si>
  <si>
    <t>$F$7</t>
  </si>
  <si>
    <t>$F$8</t>
  </si>
  <si>
    <t>$F$9</t>
  </si>
  <si>
    <t>$F$10</t>
  </si>
  <si>
    <t>$F$11</t>
  </si>
  <si>
    <t>$F$12</t>
  </si>
  <si>
    <t>$H$4</t>
  </si>
  <si>
    <t>$H$5</t>
  </si>
  <si>
    <t>$H$6</t>
  </si>
  <si>
    <t>$H$7</t>
  </si>
  <si>
    <t>$H$8</t>
  </si>
  <si>
    <t>$H$9</t>
  </si>
  <si>
    <t>$H$10</t>
  </si>
  <si>
    <t>$H$11</t>
  </si>
  <si>
    <t>$H$12</t>
  </si>
  <si>
    <t>Total Slots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</si>
</sst>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</font>
    <font>
      <sz val="1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1" xfId="0" applyFill="1" applyBorder="1"/>
    <xf numFmtId="0" fontId="0" fillId="2" borderId="2" xfId="0" applyFill="1" applyBorder="1"/>
    <xf numFmtId="0" fontId="0" fillId="2" borderId="3" xfId="0" applyFill="1" applyBorder="1"/>
    <xf numFmtId="49" fontId="0" fillId="0" borderId="0" xfId="0" applyNumberFormat="1"/>
    <xf numFmtId="0" fontId="2" fillId="0" borderId="0" xfId="0" applyFont="1"/>
    <xf numFmtId="0" fontId="4" fillId="0" borderId="0" xfId="0" applyFont="1" applyFill="1"/>
    <xf numFmtId="49" fontId="4" fillId="0" borderId="4" xfId="0" applyNumberFormat="1" applyFont="1" applyFill="1" applyBorder="1"/>
    <xf numFmtId="49" fontId="4" fillId="0" borderId="8" xfId="0" applyNumberFormat="1" applyFont="1" applyFill="1" applyBorder="1"/>
    <xf numFmtId="49" fontId="4" fillId="0" borderId="5" xfId="0" applyNumberFormat="1" applyFont="1" applyFill="1" applyBorder="1"/>
    <xf numFmtId="49" fontId="4" fillId="0" borderId="9" xfId="0" applyNumberFormat="1" applyFont="1" applyFill="1" applyBorder="1"/>
    <xf numFmtId="49" fontId="4" fillId="0" borderId="6" xfId="0" applyNumberFormat="1" applyFont="1" applyFill="1" applyBorder="1"/>
    <xf numFmtId="49" fontId="4" fillId="0" borderId="10" xfId="0" applyNumberFormat="1" applyFont="1" applyFill="1" applyBorder="1"/>
    <xf numFmtId="49" fontId="4" fillId="0" borderId="7" xfId="0" applyNumberFormat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12700</xdr:rowOff>
        </xdr:from>
        <xdr:to>
          <xdr:col>11</xdr:col>
          <xdr:colOff>711200</xdr:colOff>
          <xdr:row>2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02CDDF3-EDBE-05DE-B3C1-6DDBB7D6C2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Visualize Map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342900</xdr:colOff>
          <xdr:row>2</xdr:row>
          <xdr:rowOff>190500</xdr:rowOff>
        </xdr:from>
        <xdr:to>
          <xdr:col>8</xdr:col>
          <xdr:colOff>215900</xdr:colOff>
          <xdr:row>4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28E5A8C1-1CF3-CD19-47E7-AF3FE14AA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Empty Slots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406400</xdr:colOff>
          <xdr:row>6</xdr:row>
          <xdr:rowOff>63500</xdr:rowOff>
        </xdr:from>
        <xdr:to>
          <xdr:col>8</xdr:col>
          <xdr:colOff>279400</xdr:colOff>
          <xdr:row>8</xdr:row>
          <xdr:rowOff>38100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D12B7CAE-1B30-1D4D-E3B4-E66A64E6CB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Find Shortest Path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FBDA7-8F14-6548-B971-9387DB33477B}">
  <sheetPr codeName="Sheet1"/>
  <dimension ref="B1:I14"/>
  <sheetViews>
    <sheetView tabSelected="1" workbookViewId="0">
      <selection activeCell="J25" sqref="J25"/>
    </sheetView>
  </sheetViews>
  <sheetFormatPr baseColWidth="10" defaultRowHeight="16" x14ac:dyDescent="0.2"/>
  <sheetData>
    <row r="1" spans="2:9" ht="17" thickBot="1" x14ac:dyDescent="0.25"/>
    <row r="2" spans="2:9" ht="17" thickBot="1" x14ac:dyDescent="0.25">
      <c r="C2" s="1"/>
      <c r="D2" s="2" t="s">
        <v>0</v>
      </c>
      <c r="E2" s="3"/>
      <c r="F2" s="1"/>
      <c r="G2" s="2" t="s">
        <v>1</v>
      </c>
      <c r="H2" s="3"/>
    </row>
    <row r="3" spans="2:9" ht="17" thickBot="1" x14ac:dyDescent="0.25">
      <c r="C3" s="4"/>
      <c r="D3" t="s">
        <v>40</v>
      </c>
      <c r="E3" s="4"/>
      <c r="F3" s="4"/>
      <c r="G3" t="s">
        <v>41</v>
      </c>
      <c r="H3" s="4"/>
    </row>
    <row r="4" spans="2:9" x14ac:dyDescent="0.2">
      <c r="B4" s="6"/>
      <c r="C4" s="7"/>
      <c r="D4" s="6"/>
      <c r="E4" s="8"/>
      <c r="F4" s="7"/>
      <c r="G4" s="6"/>
      <c r="H4" s="7"/>
      <c r="I4" s="6"/>
    </row>
    <row r="5" spans="2:9" x14ac:dyDescent="0.2">
      <c r="B5" s="6"/>
      <c r="C5" s="9"/>
      <c r="D5" s="6"/>
      <c r="E5" s="10"/>
      <c r="F5" s="9"/>
      <c r="G5" s="6"/>
      <c r="H5" s="9"/>
      <c r="I5" s="6"/>
    </row>
    <row r="6" spans="2:9" ht="17" thickBot="1" x14ac:dyDescent="0.25">
      <c r="B6" s="6"/>
      <c r="C6" s="11"/>
      <c r="D6" s="6"/>
      <c r="E6" s="12"/>
      <c r="F6" s="11"/>
      <c r="G6" s="6"/>
      <c r="H6" s="11"/>
      <c r="I6" s="6"/>
    </row>
    <row r="7" spans="2:9" x14ac:dyDescent="0.2">
      <c r="B7" s="6"/>
      <c r="C7" s="7"/>
      <c r="D7" s="6"/>
      <c r="E7" s="7"/>
      <c r="F7" s="7"/>
      <c r="G7" s="6"/>
      <c r="H7" s="7"/>
      <c r="I7" s="6"/>
    </row>
    <row r="8" spans="2:9" x14ac:dyDescent="0.2">
      <c r="B8" s="6"/>
      <c r="C8" s="9"/>
      <c r="D8" s="6"/>
      <c r="E8" s="9"/>
      <c r="F8" s="9"/>
      <c r="G8" s="6"/>
      <c r="H8" s="9"/>
      <c r="I8" s="6"/>
    </row>
    <row r="9" spans="2:9" ht="17" thickBot="1" x14ac:dyDescent="0.25">
      <c r="B9" s="6"/>
      <c r="C9" s="13"/>
      <c r="D9" s="6"/>
      <c r="E9" s="11"/>
      <c r="F9" s="11"/>
      <c r="G9" s="6"/>
      <c r="H9" s="11"/>
      <c r="I9" s="6"/>
    </row>
    <row r="10" spans="2:9" x14ac:dyDescent="0.2">
      <c r="B10" s="6"/>
      <c r="C10" s="7"/>
      <c r="D10" s="6"/>
      <c r="E10" s="7"/>
      <c r="F10" s="7"/>
      <c r="G10" s="6"/>
      <c r="H10" s="7"/>
      <c r="I10" s="6"/>
    </row>
    <row r="11" spans="2:9" x14ac:dyDescent="0.2">
      <c r="B11" s="6"/>
      <c r="C11" s="9"/>
      <c r="D11" s="6"/>
      <c r="E11" s="9"/>
      <c r="F11" s="9"/>
      <c r="G11" s="6"/>
      <c r="H11" s="9"/>
      <c r="I11" s="6"/>
    </row>
    <row r="12" spans="2:9" ht="17" thickBot="1" x14ac:dyDescent="0.25">
      <c r="B12" s="6"/>
      <c r="C12" s="11"/>
      <c r="D12" s="6"/>
      <c r="E12" s="11"/>
      <c r="F12" s="11"/>
      <c r="G12" s="6"/>
      <c r="H12" s="11"/>
      <c r="I12" s="6"/>
    </row>
    <row r="13" spans="2:9" ht="17" thickBot="1" x14ac:dyDescent="0.25"/>
    <row r="14" spans="2:9" ht="17" thickBot="1" x14ac:dyDescent="0.25">
      <c r="C14" s="1"/>
      <c r="D14" s="2" t="s">
        <v>2</v>
      </c>
      <c r="E14" s="3"/>
      <c r="F14" s="1"/>
      <c r="G14" s="2" t="s">
        <v>3</v>
      </c>
      <c r="H14" s="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heet1.If_Loop">
                <anchor moveWithCells="1" sizeWithCells="1">
                  <from>
                    <xdr:col>10</xdr:col>
                    <xdr:colOff>12700</xdr:colOff>
                    <xdr:row>1</xdr:row>
                    <xdr:rowOff>12700</xdr:rowOff>
                  </from>
                  <to>
                    <xdr:col>11</xdr:col>
                    <xdr:colOff>711200</xdr:colOff>
                    <xdr:row>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A1E6F-458E-8344-9640-7E4D399787AE}">
  <sheetPr codeName="Sheet10"/>
  <dimension ref="A2:B11"/>
  <sheetViews>
    <sheetView workbookViewId="0">
      <selection activeCell="G24" sqref="G24"/>
    </sheetView>
  </sheetViews>
  <sheetFormatPr baseColWidth="10" defaultRowHeight="16" x14ac:dyDescent="0.2"/>
  <cols>
    <col min="1" max="1" width="14.6640625" bestFit="1" customWidth="1"/>
    <col min="2" max="2" width="22.5" bestFit="1" customWidth="1"/>
  </cols>
  <sheetData>
    <row r="2" spans="1:2" x14ac:dyDescent="0.2">
      <c r="A2" t="s">
        <v>69</v>
      </c>
      <c r="B2">
        <v>38</v>
      </c>
    </row>
    <row r="3" spans="1:2" x14ac:dyDescent="0.2">
      <c r="A3" t="s">
        <v>70</v>
      </c>
      <c r="B3">
        <v>35</v>
      </c>
    </row>
    <row r="4" spans="1:2" x14ac:dyDescent="0.2">
      <c r="A4" t="s">
        <v>71</v>
      </c>
      <c r="B4">
        <v>33</v>
      </c>
    </row>
    <row r="5" spans="1:2" x14ac:dyDescent="0.2">
      <c r="A5" t="s">
        <v>72</v>
      </c>
      <c r="B5">
        <v>31</v>
      </c>
    </row>
    <row r="6" spans="1:2" x14ac:dyDescent="0.2">
      <c r="A6" t="s">
        <v>78</v>
      </c>
      <c r="B6">
        <v>38</v>
      </c>
    </row>
    <row r="7" spans="1:2" x14ac:dyDescent="0.2">
      <c r="A7" t="s">
        <v>83</v>
      </c>
      <c r="B7">
        <v>29</v>
      </c>
    </row>
    <row r="8" spans="1:2" x14ac:dyDescent="0.2">
      <c r="A8" t="s">
        <v>85</v>
      </c>
      <c r="B8">
        <v>28</v>
      </c>
    </row>
    <row r="9" spans="1:2" x14ac:dyDescent="0.2">
      <c r="A9" t="s">
        <v>96</v>
      </c>
      <c r="B9">
        <v>21</v>
      </c>
    </row>
    <row r="10" spans="1:2" x14ac:dyDescent="0.2">
      <c r="A10" t="s">
        <v>97</v>
      </c>
      <c r="B10">
        <v>22</v>
      </c>
    </row>
    <row r="11" spans="1:2" x14ac:dyDescent="0.2">
      <c r="A11" t="s">
        <v>100</v>
      </c>
      <c r="B11">
        <v>25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FindEmpty">
                <anchor moveWithCells="1" sizeWithCells="1">
                  <from>
                    <xdr:col>6</xdr:col>
                    <xdr:colOff>342900</xdr:colOff>
                    <xdr:row>2</xdr:row>
                    <xdr:rowOff>190500</xdr:rowOff>
                  </from>
                  <to>
                    <xdr:col>8</xdr:col>
                    <xdr:colOff>215900</xdr:colOff>
                    <xdr:row>4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TestEmpty">
                <anchor moveWithCells="1" sizeWithCells="1">
                  <from>
                    <xdr:col>6</xdr:col>
                    <xdr:colOff>406400</xdr:colOff>
                    <xdr:row>6</xdr:row>
                    <xdr:rowOff>63500</xdr:rowOff>
                  </from>
                  <to>
                    <xdr:col>8</xdr:col>
                    <xdr:colOff>279400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66DDD6-B827-D341-AE67-60B2D4B27A5F}">
  <sheetPr codeName="Sheet2"/>
  <dimension ref="A1:E6"/>
  <sheetViews>
    <sheetView workbookViewId="0">
      <selection sqref="A1:B4"/>
    </sheetView>
  </sheetViews>
  <sheetFormatPr baseColWidth="10" defaultRowHeight="16" x14ac:dyDescent="0.2"/>
  <sheetData>
    <row r="1" spans="1:5" x14ac:dyDescent="0.2">
      <c r="A1" s="4" t="s">
        <v>58</v>
      </c>
      <c r="B1" s="4" t="s">
        <v>42</v>
      </c>
    </row>
    <row r="2" spans="1:5" x14ac:dyDescent="0.2">
      <c r="A2" s="4" t="s">
        <v>59</v>
      </c>
      <c r="B2" s="4" t="s">
        <v>43</v>
      </c>
      <c r="C2">
        <v>2</v>
      </c>
      <c r="D2">
        <v>12</v>
      </c>
      <c r="E2">
        <v>10</v>
      </c>
    </row>
    <row r="3" spans="1:5" x14ac:dyDescent="0.2">
      <c r="A3" s="4" t="s">
        <v>62</v>
      </c>
      <c r="B3" s="4" t="s">
        <v>43</v>
      </c>
      <c r="C3">
        <v>4</v>
      </c>
      <c r="D3">
        <v>14</v>
      </c>
      <c r="E3">
        <v>10</v>
      </c>
    </row>
    <row r="4" spans="1:5" x14ac:dyDescent="0.2">
      <c r="A4" s="4" t="s">
        <v>64</v>
      </c>
      <c r="B4" s="4" t="s">
        <v>43</v>
      </c>
      <c r="C4">
        <v>7</v>
      </c>
      <c r="D4">
        <v>12</v>
      </c>
      <c r="E4">
        <v>5</v>
      </c>
    </row>
    <row r="5" spans="1:5" x14ac:dyDescent="0.2">
      <c r="A5" s="4"/>
      <c r="B5" s="4"/>
      <c r="E5">
        <v>25</v>
      </c>
    </row>
    <row r="6" spans="1:5" x14ac:dyDescent="0.2">
      <c r="A6" s="4"/>
      <c r="B6" s="4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33608-707C-7747-A564-E320A0AEF667}">
  <sheetPr codeName="Sheet3"/>
  <dimension ref="A2:C38"/>
  <sheetViews>
    <sheetView workbookViewId="0">
      <selection activeCell="B3" sqref="B3:B6"/>
    </sheetView>
  </sheetViews>
  <sheetFormatPr baseColWidth="10" defaultRowHeight="16" x14ac:dyDescent="0.2"/>
  <cols>
    <col min="2" max="2" width="10.83203125" style="4"/>
  </cols>
  <sheetData>
    <row r="2" spans="1:3" x14ac:dyDescent="0.2">
      <c r="A2" t="s">
        <v>65</v>
      </c>
      <c r="B2" s="4" t="s">
        <v>42</v>
      </c>
      <c r="C2" t="s">
        <v>68</v>
      </c>
    </row>
    <row r="3" spans="1:3" x14ac:dyDescent="0.2">
      <c r="A3" t="s">
        <v>4</v>
      </c>
      <c r="C3" t="str">
        <f>VLOOKUP('Slotting Decision'!A3, Locations!$A$3:$D$38, 4)</f>
        <v>$C$4</v>
      </c>
    </row>
    <row r="4" spans="1:3" x14ac:dyDescent="0.2">
      <c r="A4" t="s">
        <v>5</v>
      </c>
      <c r="C4" t="str">
        <f>VLOOKUP('Slotting Decision'!A4, Locations!$A$3:$D$38, 4)</f>
        <v>$C$5</v>
      </c>
    </row>
    <row r="5" spans="1:3" x14ac:dyDescent="0.2">
      <c r="A5" t="s">
        <v>6</v>
      </c>
      <c r="C5" t="str">
        <f>VLOOKUP('Slotting Decision'!A5, Locations!$A$3:$D$38, 4)</f>
        <v>$C$6</v>
      </c>
    </row>
    <row r="6" spans="1:3" x14ac:dyDescent="0.2">
      <c r="A6" t="s">
        <v>7</v>
      </c>
      <c r="C6" t="str">
        <f>VLOOKUP('Slotting Decision'!A6, Locations!$A$3:$D$38, 4)</f>
        <v>$C$7</v>
      </c>
    </row>
    <row r="7" spans="1:3" x14ac:dyDescent="0.2">
      <c r="A7" t="s">
        <v>8</v>
      </c>
      <c r="B7" s="4" t="s">
        <v>55</v>
      </c>
      <c r="C7" t="str">
        <f>VLOOKUP('Slotting Decision'!A7, Locations!$A$3:$D$38, 4)</f>
        <v>$C$8</v>
      </c>
    </row>
    <row r="8" spans="1:3" x14ac:dyDescent="0.2">
      <c r="A8" t="s">
        <v>9</v>
      </c>
      <c r="B8" s="4" t="s">
        <v>47</v>
      </c>
      <c r="C8" t="str">
        <f>VLOOKUP('Slotting Decision'!A8, Locations!$A$3:$D$38, 4)</f>
        <v>$C$9</v>
      </c>
    </row>
    <row r="9" spans="1:3" x14ac:dyDescent="0.2">
      <c r="A9" t="s">
        <v>10</v>
      </c>
      <c r="B9" s="4" t="s">
        <v>45</v>
      </c>
      <c r="C9" t="str">
        <f>VLOOKUP('Slotting Decision'!A9, Locations!$A$3:$D$38, 4)</f>
        <v>$C$10</v>
      </c>
    </row>
    <row r="10" spans="1:3" x14ac:dyDescent="0.2">
      <c r="A10" t="s">
        <v>11</v>
      </c>
      <c r="B10" s="4" t="s">
        <v>56</v>
      </c>
      <c r="C10" t="str">
        <f>VLOOKUP('Slotting Decision'!A10, Locations!$A$3:$D$38, 4)</f>
        <v>$C$11</v>
      </c>
    </row>
    <row r="11" spans="1:3" x14ac:dyDescent="0.2">
      <c r="A11" t="s">
        <v>12</v>
      </c>
      <c r="B11" s="4" t="s">
        <v>48</v>
      </c>
      <c r="C11" t="str">
        <f>VLOOKUP('Slotting Decision'!A11, Locations!$A$3:$D$38, 4)</f>
        <v>$C$12</v>
      </c>
    </row>
    <row r="12" spans="1:3" x14ac:dyDescent="0.2">
      <c r="A12" t="s">
        <v>13</v>
      </c>
      <c r="C12" t="s">
        <v>78</v>
      </c>
    </row>
    <row r="13" spans="1:3" x14ac:dyDescent="0.2">
      <c r="A13" t="s">
        <v>14</v>
      </c>
      <c r="B13" s="4" t="s">
        <v>46</v>
      </c>
      <c r="C13" t="s">
        <v>79</v>
      </c>
    </row>
    <row r="14" spans="1:3" x14ac:dyDescent="0.2">
      <c r="A14" t="s">
        <v>15</v>
      </c>
      <c r="B14" s="4" t="s">
        <v>49</v>
      </c>
      <c r="C14" t="s">
        <v>80</v>
      </c>
    </row>
    <row r="15" spans="1:3" x14ac:dyDescent="0.2">
      <c r="A15" t="s">
        <v>16</v>
      </c>
      <c r="B15" s="4" t="s">
        <v>52</v>
      </c>
      <c r="C15" t="s">
        <v>81</v>
      </c>
    </row>
    <row r="16" spans="1:3" x14ac:dyDescent="0.2">
      <c r="A16" t="s">
        <v>17</v>
      </c>
      <c r="B16" s="4" t="s">
        <v>54</v>
      </c>
      <c r="C16" t="s">
        <v>82</v>
      </c>
    </row>
    <row r="17" spans="1:3" x14ac:dyDescent="0.2">
      <c r="A17" t="s">
        <v>18</v>
      </c>
      <c r="C17" t="s">
        <v>83</v>
      </c>
    </row>
    <row r="18" spans="1:3" x14ac:dyDescent="0.2">
      <c r="A18" t="s">
        <v>19</v>
      </c>
      <c r="B18" s="4" t="s">
        <v>57</v>
      </c>
      <c r="C18" t="str">
        <f>VLOOKUP('Slotting Decision'!A18, Locations!$A$3:$D$38, 4)</f>
        <v>$E$10</v>
      </c>
    </row>
    <row r="19" spans="1:3" x14ac:dyDescent="0.2">
      <c r="A19" t="s">
        <v>20</v>
      </c>
      <c r="C19" t="str">
        <f>VLOOKUP('Slotting Decision'!A19, Locations!$A$3:$D$38, 4)</f>
        <v>$E$11</v>
      </c>
    </row>
    <row r="20" spans="1:3" x14ac:dyDescent="0.2">
      <c r="A20" t="s">
        <v>21</v>
      </c>
      <c r="B20" s="4" t="s">
        <v>50</v>
      </c>
      <c r="C20" t="str">
        <f>VLOOKUP('Slotting Decision'!A20, Locations!$A$3:$D$38, 4)</f>
        <v>$E$12</v>
      </c>
    </row>
    <row r="21" spans="1:3" x14ac:dyDescent="0.2">
      <c r="A21" t="s">
        <v>22</v>
      </c>
      <c r="B21" s="4" t="s">
        <v>48</v>
      </c>
      <c r="C21" t="str">
        <f>VLOOKUP('Slotting Decision'!A21, Locations!$A$3:$D$38, 4)</f>
        <v>$F$4</v>
      </c>
    </row>
    <row r="22" spans="1:3" x14ac:dyDescent="0.2">
      <c r="A22" t="s">
        <v>23</v>
      </c>
      <c r="B22" s="4" t="s">
        <v>55</v>
      </c>
      <c r="C22" t="str">
        <f>VLOOKUP('Slotting Decision'!A22, Locations!$A$3:$D$38, 4)</f>
        <v>$F$5</v>
      </c>
    </row>
    <row r="23" spans="1:3" x14ac:dyDescent="0.2">
      <c r="A23" t="s">
        <v>24</v>
      </c>
      <c r="B23" s="4" t="s">
        <v>53</v>
      </c>
      <c r="C23" t="str">
        <f>VLOOKUP('Slotting Decision'!A23, Locations!$A$3:$D$38, 4)</f>
        <v>$F$6</v>
      </c>
    </row>
    <row r="24" spans="1:3" x14ac:dyDescent="0.2">
      <c r="A24" t="s">
        <v>25</v>
      </c>
      <c r="B24" s="4" t="s">
        <v>52</v>
      </c>
      <c r="C24" t="str">
        <f>VLOOKUP('Slotting Decision'!A24, Locations!$A$3:$D$38, 4)</f>
        <v>$F$7</v>
      </c>
    </row>
    <row r="25" spans="1:3" x14ac:dyDescent="0.2">
      <c r="A25" t="s">
        <v>26</v>
      </c>
      <c r="B25" s="4" t="s">
        <v>50</v>
      </c>
      <c r="C25" t="str">
        <f>VLOOKUP('Slotting Decision'!A25, Locations!$A$3:$D$38, 4)</f>
        <v>$F$8</v>
      </c>
    </row>
    <row r="26" spans="1:3" x14ac:dyDescent="0.2">
      <c r="A26" t="s">
        <v>27</v>
      </c>
      <c r="B26" s="4" t="s">
        <v>57</v>
      </c>
      <c r="C26" t="str">
        <f>VLOOKUP('Slotting Decision'!A26, Locations!$A$3:$D$38, 4)</f>
        <v>$F$9</v>
      </c>
    </row>
    <row r="27" spans="1:3" x14ac:dyDescent="0.2">
      <c r="A27" t="s">
        <v>28</v>
      </c>
      <c r="B27" s="4" t="s">
        <v>47</v>
      </c>
      <c r="C27" t="str">
        <f>VLOOKUP('Slotting Decision'!A27, Locations!$A$3:$D$38, 4)</f>
        <v>$F$10</v>
      </c>
    </row>
    <row r="28" spans="1:3" x14ac:dyDescent="0.2">
      <c r="A28" t="s">
        <v>29</v>
      </c>
      <c r="B28" s="4" t="s">
        <v>44</v>
      </c>
      <c r="C28" t="str">
        <f>VLOOKUP('Slotting Decision'!A28, Locations!$A$3:$D$38, 4)</f>
        <v>$F$11</v>
      </c>
    </row>
    <row r="29" spans="1:3" x14ac:dyDescent="0.2">
      <c r="A29" t="s">
        <v>30</v>
      </c>
      <c r="B29" s="4" t="s">
        <v>49</v>
      </c>
      <c r="C29" t="str">
        <f>VLOOKUP('Slotting Decision'!A29, Locations!$A$3:$D$38, 4)</f>
        <v>$F$12</v>
      </c>
    </row>
    <row r="30" spans="1:3" x14ac:dyDescent="0.2">
      <c r="A30" t="s">
        <v>31</v>
      </c>
      <c r="C30" t="s">
        <v>96</v>
      </c>
    </row>
    <row r="31" spans="1:3" x14ac:dyDescent="0.2">
      <c r="A31" t="s">
        <v>32</v>
      </c>
      <c r="C31" t="s">
        <v>97</v>
      </c>
    </row>
    <row r="32" spans="1:3" x14ac:dyDescent="0.2">
      <c r="A32" t="s">
        <v>33</v>
      </c>
      <c r="B32" s="4" t="s">
        <v>45</v>
      </c>
      <c r="C32" t="s">
        <v>98</v>
      </c>
    </row>
    <row r="33" spans="1:3" x14ac:dyDescent="0.2">
      <c r="A33" t="s">
        <v>34</v>
      </c>
      <c r="B33" s="4" t="s">
        <v>46</v>
      </c>
      <c r="C33" t="s">
        <v>99</v>
      </c>
    </row>
    <row r="34" spans="1:3" x14ac:dyDescent="0.2">
      <c r="A34" t="s">
        <v>35</v>
      </c>
      <c r="C34" t="s">
        <v>100</v>
      </c>
    </row>
    <row r="35" spans="1:3" x14ac:dyDescent="0.2">
      <c r="A35" t="s">
        <v>36</v>
      </c>
      <c r="B35" s="4" t="s">
        <v>54</v>
      </c>
      <c r="C35" t="s">
        <v>101</v>
      </c>
    </row>
    <row r="36" spans="1:3" x14ac:dyDescent="0.2">
      <c r="A36" t="s">
        <v>37</v>
      </c>
      <c r="B36" s="4" t="s">
        <v>48</v>
      </c>
      <c r="C36" t="s">
        <v>102</v>
      </c>
    </row>
    <row r="37" spans="1:3" x14ac:dyDescent="0.2">
      <c r="A37" t="s">
        <v>38</v>
      </c>
      <c r="B37" s="4" t="s">
        <v>43</v>
      </c>
      <c r="C37" t="s">
        <v>103</v>
      </c>
    </row>
    <row r="38" spans="1:3" x14ac:dyDescent="0.2">
      <c r="A38" t="s">
        <v>39</v>
      </c>
      <c r="B38" s="4" t="s">
        <v>51</v>
      </c>
      <c r="C38" t="s">
        <v>104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085E06-0319-9448-AC33-A33220ECF550}">
  <sheetPr codeName="Sheet4"/>
  <dimension ref="A2:A52"/>
  <sheetViews>
    <sheetView workbookViewId="0">
      <selection activeCell="C34" sqref="C28:C34"/>
    </sheetView>
  </sheetViews>
  <sheetFormatPr baseColWidth="10" defaultRowHeight="16" x14ac:dyDescent="0.2"/>
  <sheetData>
    <row r="2" spans="1:1" x14ac:dyDescent="0.2">
      <c r="A2" t="s">
        <v>42</v>
      </c>
    </row>
    <row r="3" spans="1:1" x14ac:dyDescent="0.2">
      <c r="A3" s="4" t="s">
        <v>43</v>
      </c>
    </row>
    <row r="4" spans="1:1" x14ac:dyDescent="0.2">
      <c r="A4" s="4" t="s">
        <v>44</v>
      </c>
    </row>
    <row r="5" spans="1:1" x14ac:dyDescent="0.2">
      <c r="A5" s="4" t="s">
        <v>45</v>
      </c>
    </row>
    <row r="6" spans="1:1" x14ac:dyDescent="0.2">
      <c r="A6" s="4" t="s">
        <v>46</v>
      </c>
    </row>
    <row r="7" spans="1:1" x14ac:dyDescent="0.2">
      <c r="A7" s="4" t="s">
        <v>47</v>
      </c>
    </row>
    <row r="8" spans="1:1" x14ac:dyDescent="0.2">
      <c r="A8" s="4" t="s">
        <v>48</v>
      </c>
    </row>
    <row r="9" spans="1:1" x14ac:dyDescent="0.2">
      <c r="A9" s="4" t="s">
        <v>49</v>
      </c>
    </row>
    <row r="10" spans="1:1" x14ac:dyDescent="0.2">
      <c r="A10" s="4" t="s">
        <v>50</v>
      </c>
    </row>
    <row r="11" spans="1:1" x14ac:dyDescent="0.2">
      <c r="A11" s="4" t="s">
        <v>51</v>
      </c>
    </row>
    <row r="12" spans="1:1" x14ac:dyDescent="0.2">
      <c r="A12" s="4" t="s">
        <v>52</v>
      </c>
    </row>
    <row r="13" spans="1:1" x14ac:dyDescent="0.2">
      <c r="A13" s="4" t="s">
        <v>53</v>
      </c>
    </row>
    <row r="14" spans="1:1" x14ac:dyDescent="0.2">
      <c r="A14" s="4" t="s">
        <v>54</v>
      </c>
    </row>
    <row r="15" spans="1:1" x14ac:dyDescent="0.2">
      <c r="A15" s="4" t="s">
        <v>55</v>
      </c>
    </row>
    <row r="16" spans="1:1" x14ac:dyDescent="0.2">
      <c r="A16" s="4" t="s">
        <v>56</v>
      </c>
    </row>
    <row r="17" spans="1:1" x14ac:dyDescent="0.2">
      <c r="A17" s="4" t="s">
        <v>57</v>
      </c>
    </row>
    <row r="18" spans="1:1" x14ac:dyDescent="0.2">
      <c r="A18" s="4"/>
    </row>
    <row r="19" spans="1:1" x14ac:dyDescent="0.2">
      <c r="A19" s="4"/>
    </row>
    <row r="20" spans="1:1" x14ac:dyDescent="0.2">
      <c r="A20" s="4"/>
    </row>
    <row r="21" spans="1:1" x14ac:dyDescent="0.2">
      <c r="A21" s="4"/>
    </row>
    <row r="22" spans="1:1" x14ac:dyDescent="0.2">
      <c r="A22" s="4"/>
    </row>
    <row r="23" spans="1:1" x14ac:dyDescent="0.2">
      <c r="A23" s="4"/>
    </row>
    <row r="24" spans="1:1" x14ac:dyDescent="0.2">
      <c r="A24" s="4"/>
    </row>
    <row r="25" spans="1:1" x14ac:dyDescent="0.2">
      <c r="A25" s="4"/>
    </row>
    <row r="26" spans="1:1" x14ac:dyDescent="0.2">
      <c r="A26" s="4"/>
    </row>
    <row r="27" spans="1:1" x14ac:dyDescent="0.2">
      <c r="A27" s="4"/>
    </row>
    <row r="28" spans="1:1" x14ac:dyDescent="0.2">
      <c r="A28" s="4"/>
    </row>
    <row r="29" spans="1:1" x14ac:dyDescent="0.2">
      <c r="A29" s="4"/>
    </row>
    <row r="30" spans="1:1" x14ac:dyDescent="0.2">
      <c r="A30" s="4"/>
    </row>
    <row r="31" spans="1:1" x14ac:dyDescent="0.2">
      <c r="A31" s="4"/>
    </row>
    <row r="32" spans="1:1" x14ac:dyDescent="0.2">
      <c r="A32" s="4"/>
    </row>
    <row r="33" spans="1:1" x14ac:dyDescent="0.2">
      <c r="A33" s="4"/>
    </row>
    <row r="34" spans="1:1" x14ac:dyDescent="0.2">
      <c r="A34" s="4"/>
    </row>
    <row r="35" spans="1:1" x14ac:dyDescent="0.2">
      <c r="A35" s="4"/>
    </row>
    <row r="36" spans="1:1" x14ac:dyDescent="0.2">
      <c r="A36" s="4"/>
    </row>
    <row r="37" spans="1:1" x14ac:dyDescent="0.2">
      <c r="A37" s="4"/>
    </row>
    <row r="38" spans="1:1" x14ac:dyDescent="0.2">
      <c r="A38" s="4"/>
    </row>
    <row r="39" spans="1:1" x14ac:dyDescent="0.2">
      <c r="A39" s="4"/>
    </row>
    <row r="40" spans="1:1" x14ac:dyDescent="0.2">
      <c r="A40" s="4"/>
    </row>
    <row r="41" spans="1:1" x14ac:dyDescent="0.2">
      <c r="A41" s="4"/>
    </row>
    <row r="42" spans="1:1" x14ac:dyDescent="0.2">
      <c r="A42" s="4"/>
    </row>
    <row r="43" spans="1:1" x14ac:dyDescent="0.2">
      <c r="A43" s="4"/>
    </row>
    <row r="44" spans="1:1" x14ac:dyDescent="0.2">
      <c r="A44" s="4"/>
    </row>
    <row r="45" spans="1:1" x14ac:dyDescent="0.2">
      <c r="A45" s="4"/>
    </row>
    <row r="46" spans="1:1" x14ac:dyDescent="0.2">
      <c r="A46" s="4"/>
    </row>
    <row r="47" spans="1:1" x14ac:dyDescent="0.2">
      <c r="A47" s="4"/>
    </row>
    <row r="48" spans="1:1" x14ac:dyDescent="0.2">
      <c r="A48" s="4"/>
    </row>
    <row r="49" spans="1:1" x14ac:dyDescent="0.2">
      <c r="A49" s="4"/>
    </row>
    <row r="50" spans="1:1" x14ac:dyDescent="0.2">
      <c r="A50" s="4"/>
    </row>
    <row r="51" spans="1:1" x14ac:dyDescent="0.2">
      <c r="A51" s="4"/>
    </row>
    <row r="52" spans="1:1" x14ac:dyDescent="0.2">
      <c r="A52" s="4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BBE81-115D-FE45-9851-AA4E95764AC1}">
  <sheetPr codeName="Sheet5" filterMode="1"/>
  <dimension ref="A2:B24"/>
  <sheetViews>
    <sheetView zoomScale="99" workbookViewId="0">
      <selection activeCell="D8" sqref="D8"/>
    </sheetView>
  </sheetViews>
  <sheetFormatPr baseColWidth="10" defaultRowHeight="16" x14ac:dyDescent="0.2"/>
  <cols>
    <col min="1" max="2" width="10.83203125" style="4"/>
  </cols>
  <sheetData>
    <row r="2" spans="1:2" x14ac:dyDescent="0.2">
      <c r="A2" s="4" t="s">
        <v>58</v>
      </c>
      <c r="B2" s="4" t="s">
        <v>42</v>
      </c>
    </row>
    <row r="3" spans="1:2" hidden="1" x14ac:dyDescent="0.2">
      <c r="A3" s="4" t="s">
        <v>59</v>
      </c>
      <c r="B3" s="4" t="s">
        <v>45</v>
      </c>
    </row>
    <row r="4" spans="1:2" hidden="1" x14ac:dyDescent="0.2">
      <c r="A4" s="4" t="s">
        <v>59</v>
      </c>
      <c r="B4" s="4" t="s">
        <v>44</v>
      </c>
    </row>
    <row r="5" spans="1:2" hidden="1" x14ac:dyDescent="0.2">
      <c r="A5" s="4" t="s">
        <v>59</v>
      </c>
      <c r="B5" s="4" t="s">
        <v>46</v>
      </c>
    </row>
    <row r="6" spans="1:2" hidden="1" x14ac:dyDescent="0.2">
      <c r="A6" s="4" t="s">
        <v>59</v>
      </c>
      <c r="B6" s="4" t="s">
        <v>43</v>
      </c>
    </row>
    <row r="7" spans="1:2" hidden="1" x14ac:dyDescent="0.2">
      <c r="A7" s="4" t="s">
        <v>59</v>
      </c>
      <c r="B7" s="4" t="s">
        <v>57</v>
      </c>
    </row>
    <row r="8" spans="1:2" hidden="1" x14ac:dyDescent="0.2">
      <c r="A8" s="4" t="s">
        <v>59</v>
      </c>
      <c r="B8" s="4" t="s">
        <v>49</v>
      </c>
    </row>
    <row r="9" spans="1:2" hidden="1" x14ac:dyDescent="0.2">
      <c r="A9" s="4" t="s">
        <v>59</v>
      </c>
      <c r="B9" s="4" t="s">
        <v>55</v>
      </c>
    </row>
    <row r="10" spans="1:2" hidden="1" x14ac:dyDescent="0.2">
      <c r="A10" s="4" t="s">
        <v>59</v>
      </c>
      <c r="B10" s="4" t="s">
        <v>51</v>
      </c>
    </row>
    <row r="11" spans="1:2" hidden="1" x14ac:dyDescent="0.2">
      <c r="A11" s="4" t="s">
        <v>60</v>
      </c>
      <c r="B11" s="4" t="s">
        <v>44</v>
      </c>
    </row>
    <row r="12" spans="1:2" hidden="1" x14ac:dyDescent="0.2">
      <c r="A12" s="4" t="s">
        <v>61</v>
      </c>
      <c r="B12" s="4" t="s">
        <v>46</v>
      </c>
    </row>
    <row r="13" spans="1:2" hidden="1" x14ac:dyDescent="0.2">
      <c r="A13" s="4" t="s">
        <v>61</v>
      </c>
      <c r="B13" s="4" t="s">
        <v>50</v>
      </c>
    </row>
    <row r="14" spans="1:2" hidden="1" x14ac:dyDescent="0.2">
      <c r="A14" s="4" t="s">
        <v>61</v>
      </c>
      <c r="B14" s="4" t="s">
        <v>44</v>
      </c>
    </row>
    <row r="15" spans="1:2" hidden="1" x14ac:dyDescent="0.2">
      <c r="A15" s="4" t="s">
        <v>62</v>
      </c>
      <c r="B15" s="4" t="s">
        <v>43</v>
      </c>
    </row>
    <row r="16" spans="1:2" hidden="1" x14ac:dyDescent="0.2">
      <c r="A16" s="4" t="s">
        <v>62</v>
      </c>
      <c r="B16" s="4" t="s">
        <v>52</v>
      </c>
    </row>
    <row r="17" spans="1:2" hidden="1" x14ac:dyDescent="0.2">
      <c r="A17" s="4" t="s">
        <v>62</v>
      </c>
      <c r="B17" s="4" t="s">
        <v>44</v>
      </c>
    </row>
    <row r="18" spans="1:2" hidden="1" x14ac:dyDescent="0.2">
      <c r="A18" s="4" t="s">
        <v>63</v>
      </c>
      <c r="B18" s="4" t="s">
        <v>44</v>
      </c>
    </row>
    <row r="19" spans="1:2" hidden="1" x14ac:dyDescent="0.2">
      <c r="A19" s="4" t="s">
        <v>63</v>
      </c>
      <c r="B19" s="4" t="s">
        <v>57</v>
      </c>
    </row>
    <row r="20" spans="1:2" x14ac:dyDescent="0.2">
      <c r="A20" s="4" t="s">
        <v>64</v>
      </c>
      <c r="B20" s="4" t="s">
        <v>53</v>
      </c>
    </row>
    <row r="21" spans="1:2" x14ac:dyDescent="0.2">
      <c r="A21" s="4" t="s">
        <v>64</v>
      </c>
      <c r="B21" s="4" t="s">
        <v>57</v>
      </c>
    </row>
    <row r="22" spans="1:2" x14ac:dyDescent="0.2">
      <c r="A22" s="4" t="s">
        <v>64</v>
      </c>
      <c r="B22" s="4" t="s">
        <v>43</v>
      </c>
    </row>
    <row r="23" spans="1:2" x14ac:dyDescent="0.2">
      <c r="A23" s="4" t="s">
        <v>64</v>
      </c>
      <c r="B23" s="4" t="s">
        <v>45</v>
      </c>
    </row>
    <row r="24" spans="1:2" x14ac:dyDescent="0.2">
      <c r="A24" s="4" t="s">
        <v>64</v>
      </c>
      <c r="B24" s="4" t="s">
        <v>50</v>
      </c>
    </row>
  </sheetData>
  <autoFilter ref="A2:B24" xr:uid="{963BBE81-115D-FE45-9851-AA4E95764AC1}">
    <filterColumn colId="0">
      <filters>
        <filter val="00006"/>
      </filters>
    </filterColumn>
  </autoFilter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53C1-5189-9D44-A2E2-D8FA6F334D66}">
  <sheetPr codeName="Sheet7"/>
  <dimension ref="A1:B1"/>
  <sheetViews>
    <sheetView workbookViewId="0">
      <selection activeCell="A2" sqref="A2"/>
    </sheetView>
  </sheetViews>
  <sheetFormatPr baseColWidth="10" defaultRowHeight="16" x14ac:dyDescent="0.2"/>
  <sheetData>
    <row r="1" spans="1:2" x14ac:dyDescent="0.2">
      <c r="A1" t="s">
        <v>58</v>
      </c>
      <c r="B1" t="s">
        <v>105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337D7-B948-FC42-94A4-6814F80EEF65}">
  <sheetPr codeName="Sheet8"/>
  <dimension ref="A1:B9"/>
  <sheetViews>
    <sheetView workbookViewId="0">
      <selection sqref="A1:B6"/>
    </sheetView>
  </sheetViews>
  <sheetFormatPr baseColWidth="10" defaultRowHeight="16" x14ac:dyDescent="0.2"/>
  <sheetData>
    <row r="1" spans="1:2" x14ac:dyDescent="0.2">
      <c r="A1" s="4" t="s">
        <v>58</v>
      </c>
      <c r="B1" s="4" t="s">
        <v>42</v>
      </c>
    </row>
    <row r="2" spans="1:2" x14ac:dyDescent="0.2">
      <c r="A2" s="4" t="s">
        <v>64</v>
      </c>
      <c r="B2" s="4" t="s">
        <v>53</v>
      </c>
    </row>
    <row r="3" spans="1:2" x14ac:dyDescent="0.2">
      <c r="A3" s="4" t="s">
        <v>64</v>
      </c>
      <c r="B3" s="4" t="s">
        <v>57</v>
      </c>
    </row>
    <row r="4" spans="1:2" x14ac:dyDescent="0.2">
      <c r="A4" s="4" t="s">
        <v>64</v>
      </c>
      <c r="B4" s="4" t="s">
        <v>43</v>
      </c>
    </row>
    <row r="5" spans="1:2" x14ac:dyDescent="0.2">
      <c r="A5" s="4" t="s">
        <v>64</v>
      </c>
      <c r="B5" s="4" t="s">
        <v>45</v>
      </c>
    </row>
    <row r="6" spans="1:2" x14ac:dyDescent="0.2">
      <c r="A6" s="4" t="s">
        <v>64</v>
      </c>
      <c r="B6" s="4" t="s">
        <v>50</v>
      </c>
    </row>
    <row r="7" spans="1:2" x14ac:dyDescent="0.2">
      <c r="A7" s="4"/>
      <c r="B7" s="4"/>
    </row>
    <row r="8" spans="1:2" x14ac:dyDescent="0.2">
      <c r="A8" s="4"/>
      <c r="B8" s="4"/>
    </row>
    <row r="9" spans="1:2" x14ac:dyDescent="0.2">
      <c r="A9" s="4"/>
      <c r="B9" s="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A6B7C-4BF5-EA40-A131-166B1EAE122B}">
  <sheetPr codeName="Sheet6"/>
  <dimension ref="A2:D38"/>
  <sheetViews>
    <sheetView workbookViewId="0">
      <selection activeCell="M24" sqref="M24"/>
    </sheetView>
  </sheetViews>
  <sheetFormatPr baseColWidth="10" defaultRowHeight="16" x14ac:dyDescent="0.2"/>
  <sheetData>
    <row r="2" spans="1:4" x14ac:dyDescent="0.2">
      <c r="A2" t="s">
        <v>65</v>
      </c>
      <c r="B2" t="s">
        <v>66</v>
      </c>
      <c r="C2" t="s">
        <v>67</v>
      </c>
      <c r="D2" t="s">
        <v>68</v>
      </c>
    </row>
    <row r="3" spans="1:4" x14ac:dyDescent="0.2">
      <c r="A3" s="5" t="s">
        <v>4</v>
      </c>
      <c r="B3">
        <v>2</v>
      </c>
      <c r="C3">
        <v>20</v>
      </c>
      <c r="D3" t="s">
        <v>69</v>
      </c>
    </row>
    <row r="4" spans="1:4" x14ac:dyDescent="0.2">
      <c r="A4" s="5" t="s">
        <v>5</v>
      </c>
      <c r="B4">
        <v>2</v>
      </c>
      <c r="C4">
        <v>22</v>
      </c>
      <c r="D4" t="s">
        <v>70</v>
      </c>
    </row>
    <row r="5" spans="1:4" x14ac:dyDescent="0.2">
      <c r="A5" s="5" t="s">
        <v>6</v>
      </c>
      <c r="B5">
        <v>2</v>
      </c>
      <c r="C5">
        <v>24</v>
      </c>
      <c r="D5" t="s">
        <v>71</v>
      </c>
    </row>
    <row r="6" spans="1:4" x14ac:dyDescent="0.2">
      <c r="A6" s="5" t="s">
        <v>7</v>
      </c>
      <c r="B6">
        <v>2</v>
      </c>
      <c r="C6">
        <v>26</v>
      </c>
      <c r="D6" t="s">
        <v>72</v>
      </c>
    </row>
    <row r="7" spans="1:4" x14ac:dyDescent="0.2">
      <c r="A7" s="5" t="s">
        <v>8</v>
      </c>
      <c r="B7">
        <v>2</v>
      </c>
      <c r="C7">
        <v>28</v>
      </c>
      <c r="D7" t="s">
        <v>73</v>
      </c>
    </row>
    <row r="8" spans="1:4" x14ac:dyDescent="0.2">
      <c r="A8" s="5" t="s">
        <v>9</v>
      </c>
      <c r="B8">
        <v>2</v>
      </c>
      <c r="C8">
        <v>30</v>
      </c>
      <c r="D8" t="s">
        <v>74</v>
      </c>
    </row>
    <row r="9" spans="1:4" x14ac:dyDescent="0.2">
      <c r="A9" s="5" t="s">
        <v>10</v>
      </c>
      <c r="B9">
        <v>2</v>
      </c>
      <c r="C9">
        <v>32</v>
      </c>
      <c r="D9" t="s">
        <v>75</v>
      </c>
    </row>
    <row r="10" spans="1:4" x14ac:dyDescent="0.2">
      <c r="A10" s="5" t="s">
        <v>11</v>
      </c>
      <c r="B10">
        <v>2</v>
      </c>
      <c r="C10">
        <v>34</v>
      </c>
      <c r="D10" t="s">
        <v>76</v>
      </c>
    </row>
    <row r="11" spans="1:4" x14ac:dyDescent="0.2">
      <c r="A11" s="5" t="s">
        <v>12</v>
      </c>
      <c r="B11">
        <v>2</v>
      </c>
      <c r="C11">
        <v>36</v>
      </c>
      <c r="D11" t="s">
        <v>77</v>
      </c>
    </row>
    <row r="12" spans="1:4" x14ac:dyDescent="0.2">
      <c r="A12" s="5" t="s">
        <v>13</v>
      </c>
      <c r="B12">
        <v>7</v>
      </c>
      <c r="C12">
        <v>20</v>
      </c>
      <c r="D12" t="s">
        <v>78</v>
      </c>
    </row>
    <row r="13" spans="1:4" x14ac:dyDescent="0.2">
      <c r="A13" s="5" t="s">
        <v>14</v>
      </c>
      <c r="B13">
        <v>7</v>
      </c>
      <c r="C13">
        <v>22</v>
      </c>
      <c r="D13" t="s">
        <v>79</v>
      </c>
    </row>
    <row r="14" spans="1:4" x14ac:dyDescent="0.2">
      <c r="A14" s="5" t="s">
        <v>15</v>
      </c>
      <c r="B14">
        <v>7</v>
      </c>
      <c r="C14">
        <v>24</v>
      </c>
      <c r="D14" t="s">
        <v>80</v>
      </c>
    </row>
    <row r="15" spans="1:4" x14ac:dyDescent="0.2">
      <c r="A15" s="5" t="s">
        <v>16</v>
      </c>
      <c r="B15">
        <v>7</v>
      </c>
      <c r="C15">
        <v>26</v>
      </c>
      <c r="D15" t="s">
        <v>81</v>
      </c>
    </row>
    <row r="16" spans="1:4" x14ac:dyDescent="0.2">
      <c r="A16" s="5" t="s">
        <v>17</v>
      </c>
      <c r="B16">
        <v>7</v>
      </c>
      <c r="C16">
        <v>28</v>
      </c>
      <c r="D16" t="s">
        <v>82</v>
      </c>
    </row>
    <row r="17" spans="1:4" x14ac:dyDescent="0.2">
      <c r="A17" s="5" t="s">
        <v>18</v>
      </c>
      <c r="B17">
        <v>7</v>
      </c>
      <c r="C17">
        <v>30</v>
      </c>
      <c r="D17" t="s">
        <v>83</v>
      </c>
    </row>
    <row r="18" spans="1:4" x14ac:dyDescent="0.2">
      <c r="A18" s="5" t="s">
        <v>19</v>
      </c>
      <c r="B18">
        <v>7</v>
      </c>
      <c r="C18">
        <v>32</v>
      </c>
      <c r="D18" t="s">
        <v>84</v>
      </c>
    </row>
    <row r="19" spans="1:4" x14ac:dyDescent="0.2">
      <c r="A19" s="5" t="s">
        <v>20</v>
      </c>
      <c r="B19">
        <v>7</v>
      </c>
      <c r="C19">
        <v>34</v>
      </c>
      <c r="D19" t="s">
        <v>85</v>
      </c>
    </row>
    <row r="20" spans="1:4" x14ac:dyDescent="0.2">
      <c r="A20" s="5" t="s">
        <v>21</v>
      </c>
      <c r="B20">
        <v>7</v>
      </c>
      <c r="C20">
        <v>36</v>
      </c>
      <c r="D20" t="s">
        <v>86</v>
      </c>
    </row>
    <row r="21" spans="1:4" x14ac:dyDescent="0.2">
      <c r="A21" s="5" t="s">
        <v>22</v>
      </c>
      <c r="B21">
        <v>11</v>
      </c>
      <c r="C21">
        <v>20</v>
      </c>
      <c r="D21" t="s">
        <v>87</v>
      </c>
    </row>
    <row r="22" spans="1:4" x14ac:dyDescent="0.2">
      <c r="A22" s="5" t="s">
        <v>23</v>
      </c>
      <c r="B22">
        <v>11</v>
      </c>
      <c r="C22">
        <v>22</v>
      </c>
      <c r="D22" t="s">
        <v>88</v>
      </c>
    </row>
    <row r="23" spans="1:4" x14ac:dyDescent="0.2">
      <c r="A23" s="5" t="s">
        <v>24</v>
      </c>
      <c r="B23">
        <v>11</v>
      </c>
      <c r="C23">
        <v>24</v>
      </c>
      <c r="D23" t="s">
        <v>89</v>
      </c>
    </row>
    <row r="24" spans="1:4" x14ac:dyDescent="0.2">
      <c r="A24" s="5" t="s">
        <v>25</v>
      </c>
      <c r="B24">
        <v>11</v>
      </c>
      <c r="C24">
        <v>26</v>
      </c>
      <c r="D24" t="s">
        <v>90</v>
      </c>
    </row>
    <row r="25" spans="1:4" x14ac:dyDescent="0.2">
      <c r="A25" s="5" t="s">
        <v>26</v>
      </c>
      <c r="B25">
        <v>11</v>
      </c>
      <c r="C25">
        <v>28</v>
      </c>
      <c r="D25" t="s">
        <v>91</v>
      </c>
    </row>
    <row r="26" spans="1:4" x14ac:dyDescent="0.2">
      <c r="A26" s="5" t="s">
        <v>27</v>
      </c>
      <c r="B26">
        <v>11</v>
      </c>
      <c r="C26">
        <v>30</v>
      </c>
      <c r="D26" t="s">
        <v>92</v>
      </c>
    </row>
    <row r="27" spans="1:4" x14ac:dyDescent="0.2">
      <c r="A27" s="5" t="s">
        <v>28</v>
      </c>
      <c r="B27">
        <v>11</v>
      </c>
      <c r="C27">
        <v>32</v>
      </c>
      <c r="D27" t="s">
        <v>93</v>
      </c>
    </row>
    <row r="28" spans="1:4" x14ac:dyDescent="0.2">
      <c r="A28" s="5" t="s">
        <v>29</v>
      </c>
      <c r="B28">
        <v>11</v>
      </c>
      <c r="C28">
        <v>34</v>
      </c>
      <c r="D28" t="s">
        <v>94</v>
      </c>
    </row>
    <row r="29" spans="1:4" x14ac:dyDescent="0.2">
      <c r="A29" s="5" t="s">
        <v>30</v>
      </c>
      <c r="B29">
        <v>11</v>
      </c>
      <c r="C29">
        <v>36</v>
      </c>
      <c r="D29" t="s">
        <v>95</v>
      </c>
    </row>
    <row r="30" spans="1:4" x14ac:dyDescent="0.2">
      <c r="A30" s="5" t="s">
        <v>31</v>
      </c>
      <c r="B30">
        <v>16</v>
      </c>
      <c r="C30">
        <v>20</v>
      </c>
      <c r="D30" t="s">
        <v>96</v>
      </c>
    </row>
    <row r="31" spans="1:4" x14ac:dyDescent="0.2">
      <c r="A31" s="5" t="s">
        <v>32</v>
      </c>
      <c r="B31">
        <v>16</v>
      </c>
      <c r="C31">
        <v>22</v>
      </c>
      <c r="D31" t="s">
        <v>97</v>
      </c>
    </row>
    <row r="32" spans="1:4" x14ac:dyDescent="0.2">
      <c r="A32" s="5" t="s">
        <v>33</v>
      </c>
      <c r="B32">
        <v>16</v>
      </c>
      <c r="C32">
        <v>24</v>
      </c>
      <c r="D32" t="s">
        <v>98</v>
      </c>
    </row>
    <row r="33" spans="1:4" x14ac:dyDescent="0.2">
      <c r="A33" s="5" t="s">
        <v>34</v>
      </c>
      <c r="B33">
        <v>16</v>
      </c>
      <c r="C33">
        <v>26</v>
      </c>
      <c r="D33" t="s">
        <v>99</v>
      </c>
    </row>
    <row r="34" spans="1:4" x14ac:dyDescent="0.2">
      <c r="A34" s="5" t="s">
        <v>35</v>
      </c>
      <c r="B34">
        <v>16</v>
      </c>
      <c r="C34">
        <v>28</v>
      </c>
      <c r="D34" t="s">
        <v>100</v>
      </c>
    </row>
    <row r="35" spans="1:4" x14ac:dyDescent="0.2">
      <c r="A35" s="5" t="s">
        <v>36</v>
      </c>
      <c r="B35">
        <v>16</v>
      </c>
      <c r="C35">
        <v>30</v>
      </c>
      <c r="D35" t="s">
        <v>101</v>
      </c>
    </row>
    <row r="36" spans="1:4" x14ac:dyDescent="0.2">
      <c r="A36" s="5" t="s">
        <v>37</v>
      </c>
      <c r="B36">
        <v>16</v>
      </c>
      <c r="C36">
        <v>32</v>
      </c>
      <c r="D36" t="s">
        <v>102</v>
      </c>
    </row>
    <row r="37" spans="1:4" x14ac:dyDescent="0.2">
      <c r="A37" s="5" t="s">
        <v>38</v>
      </c>
      <c r="B37">
        <v>16</v>
      </c>
      <c r="C37">
        <v>34</v>
      </c>
      <c r="D37" t="s">
        <v>103</v>
      </c>
    </row>
    <row r="38" spans="1:4" x14ac:dyDescent="0.2">
      <c r="A38" s="5" t="s">
        <v>39</v>
      </c>
      <c r="B38">
        <v>16</v>
      </c>
      <c r="C38">
        <v>36</v>
      </c>
      <c r="D38" t="s">
        <v>104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Warehouse Layout</vt:lpstr>
      <vt:lpstr>Empty Slots</vt:lpstr>
      <vt:lpstr>Log</vt:lpstr>
      <vt:lpstr>Slotting Decision</vt:lpstr>
      <vt:lpstr>Inventory</vt:lpstr>
      <vt:lpstr>Orders</vt:lpstr>
      <vt:lpstr>Order Path</vt:lpstr>
      <vt:lpstr>Temp</vt:lpstr>
      <vt:lpstr>Locations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2022-10-22T17:13:57Z</dcterms:created>
  <dcterms:modified xsi:type="dcterms:W3CDTF">2022-10-23T17:37:54Z</dcterms:modified>
</cp:coreProperties>
</file>